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yce Jacob\Downloads\Entri Assignment\"/>
    </mc:Choice>
  </mc:AlternateContent>
  <xr:revisionPtr revIDLastSave="0" documentId="8_{FEC18B00-F380-48EA-B8D8-38CCF411980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D42" i="2"/>
  <c r="D4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" i="2"/>
  <c r="G4" i="2"/>
  <c r="G5" i="2"/>
  <c r="G6" i="2"/>
  <c r="G7" i="2"/>
  <c r="G8" i="2"/>
  <c r="G9" i="2"/>
  <c r="G10" i="2"/>
  <c r="G11" i="2"/>
  <c r="G2" i="2"/>
  <c r="D40" i="2"/>
  <c r="D39" i="2"/>
  <c r="D38" i="2"/>
  <c r="D37" i="2"/>
  <c r="D36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<sst xmlns="http://schemas.openxmlformats.org/spreadsheetml/2006/main" count="170" uniqueCount="121">
  <si>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</si>
  <si>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</si>
  <si>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</si>
  <si>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</si>
  <si>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</si>
  <si>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</si>
  <si>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</si>
  <si>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</si>
  <si>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</si>
  <si>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</si>
  <si>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</si>
  <si>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</si>
  <si>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</si>
  <si>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</si>
  <si>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</si>
  <si>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</si>
  <si>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</si>
  <si>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</si>
  <si>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</si>
  <si>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</si>
  <si>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</si>
  <si>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</si>
  <si>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</si>
  <si>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</si>
  <si>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</si>
  <si>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</si>
  <si>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</si>
  <si>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</si>
  <si>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</si>
  <si>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</si>
  <si>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</si>
  <si>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</si>
  <si>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</si>
  <si>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</si>
  <si>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</si>
  <si>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</si>
  <si>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</si>
  <si>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</si>
  <si>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</si>
  <si>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</si>
  <si>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</si>
  <si>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</si>
  <si>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</si>
  <si>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</si>
  <si>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</si>
  <si>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</si>
  <si>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</si>
  <si>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</si>
  <si>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</si>
  <si>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</si>
  <si>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</si>
  <si>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</si>
  <si>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</si>
  <si>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</si>
  <si>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</si>
  <si>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</si>
  <si>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</si>
  <si>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</si>
  <si>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</si>
  <si>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</si>
  <si>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</si>
  <si>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</si>
  <si>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</si>
  <si>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</si>
  <si>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</si>
  <si>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</si>
  <si>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</si>
  <si>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</si>
  <si>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</si>
  <si>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</si>
  <si>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</si>
  <si>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</si>
  <si>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</si>
  <si>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</si>
  <si>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</si>
  <si>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</si>
  <si>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</si>
  <si>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</si>
  <si>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</si>
  <si>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</si>
  <si>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</si>
  <si>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</si>
  <si>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</si>
  <si>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</si>
  <si>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</si>
  <si>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</si>
  <si>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</si>
  <si>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</si>
  <si>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</si>
  <si>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</si>
  <si>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</si>
  <si>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</si>
  <si>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</si>
  <si>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</si>
  <si>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</si>
  <si>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</si>
  <si>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</si>
  <si>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</si>
  <si>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</si>
  <si>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</si>
  <si>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</si>
  <si>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</si>
  <si>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</si>
  <si>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</si>
  <si>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</si>
  <si>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</si>
  <si>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</si>
  <si>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</si>
  <si>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</si>
  <si>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</si>
  <si>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 of the products</t>
  </si>
  <si>
    <t>Total Products</t>
  </si>
  <si>
    <t xml:space="preserve">Average </t>
  </si>
  <si>
    <t>Minimum</t>
  </si>
  <si>
    <t>Maximum</t>
  </si>
  <si>
    <t xml:space="preserve">Price Range </t>
  </si>
  <si>
    <t>Total price of the product in electronics category</t>
  </si>
  <si>
    <t>Day</t>
  </si>
  <si>
    <t>countrycode</t>
  </si>
  <si>
    <t>Month</t>
  </si>
  <si>
    <t>Products Less than $100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</si>
</sst>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4" borderId="1" xfId="0" applyFill="1" applyBorder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/>
    <xf numFmtId="0" fontId="7" fillId="4" borderId="1" xfId="0" applyFont="1" applyFill="1" applyBorder="1" applyAlignment="1">
      <alignment wrapText="1"/>
    </xf>
    <xf numFmtId="0" fontId="8" fillId="4" borderId="1" xfId="0" applyFont="1" applyFill="1" applyBorder="1"/>
    <xf numFmtId="0" fontId="8" fillId="4" borderId="1" xfId="0" applyFont="1" applyFill="1" applyBorder="1" applyAlignment="1">
      <alignment wrapText="1"/>
    </xf>
    <xf numFmtId="0" fontId="7" fillId="2" borderId="2" xfId="0" applyFont="1" applyFill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0" workbookViewId="0">
      <selection activeCell="F19" sqref="F19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10" workbookViewId="0">
      <selection activeCell="H42" sqref="H42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10" ht="15.75" customHeight="1" x14ac:dyDescent="0.3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13" t="s">
        <v>115</v>
      </c>
      <c r="H1" s="13" t="s">
        <v>117</v>
      </c>
      <c r="I1" s="13" t="s">
        <v>118</v>
      </c>
      <c r="J1" s="13" t="s">
        <v>119</v>
      </c>
    </row>
    <row r="2" spans="1:10" ht="15.75" customHeight="1" x14ac:dyDescent="0.25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8" t="str">
        <f>IF(D2&gt;=500,"High price","StandardPrice")</f>
        <v>High price</v>
      </c>
      <c r="H2" s="14" t="str">
        <f>LEFT(A2,2)</f>
        <v>28</v>
      </c>
      <c r="I2" s="5" t="str">
        <f>RIGHT(A2,2)</f>
        <v>US</v>
      </c>
      <c r="J2" s="5" t="str">
        <f>MID(A2,4,3)</f>
        <v>JAN</v>
      </c>
    </row>
    <row r="3" spans="1:10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 t="str">
        <f>IF(D3&gt;=500,"High price","StandardPrice")</f>
        <v>StandardPrice</v>
      </c>
      <c r="H3" s="14" t="str">
        <f t="shared" ref="H3:H35" si="0">LEFT(A3,2)</f>
        <v>15</v>
      </c>
      <c r="I3" s="5" t="str">
        <f t="shared" ref="I3:I35" si="1">RIGHT(A3,2)</f>
        <v>US</v>
      </c>
      <c r="J3" s="5" t="str">
        <f t="shared" ref="J3:J35" si="2">MID(A3,4,3)</f>
        <v>FEB</v>
      </c>
    </row>
    <row r="4" spans="1:10" ht="15.75" customHeight="1" x14ac:dyDescent="0.25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8" t="str">
        <f>IF(D4&gt;=500,"High price","StandardPrice")</f>
        <v>StandardPrice</v>
      </c>
      <c r="H4" s="14" t="str">
        <f t="shared" si="0"/>
        <v>03</v>
      </c>
      <c r="I4" s="5" t="str">
        <f t="shared" si="1"/>
        <v>US</v>
      </c>
      <c r="J4" s="5" t="str">
        <f t="shared" si="2"/>
        <v>MAR</v>
      </c>
    </row>
    <row r="5" spans="1:10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 t="str">
        <f>IF(D5&gt;=500,"High price","StandardPrice")</f>
        <v>High price</v>
      </c>
      <c r="H5" s="14" t="str">
        <f t="shared" si="0"/>
        <v>11</v>
      </c>
      <c r="I5" s="5" t="str">
        <f t="shared" si="1"/>
        <v>US</v>
      </c>
      <c r="J5" s="5" t="str">
        <f t="shared" si="2"/>
        <v>APR</v>
      </c>
    </row>
    <row r="6" spans="1:10" ht="15.75" customHeight="1" x14ac:dyDescent="0.25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8" t="str">
        <f>IF(D6&gt;=500,"High price","StandardPrice")</f>
        <v>StandardPrice</v>
      </c>
      <c r="H6" s="14" t="str">
        <f t="shared" si="0"/>
        <v>22</v>
      </c>
      <c r="I6" s="5" t="str">
        <f t="shared" si="1"/>
        <v>US</v>
      </c>
      <c r="J6" s="5" t="str">
        <f t="shared" si="2"/>
        <v>MAY</v>
      </c>
    </row>
    <row r="7" spans="1:10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 t="str">
        <f>IF(D7&gt;=500,"High price","StandardPrice")</f>
        <v>StandardPrice</v>
      </c>
      <c r="H7" s="14" t="str">
        <f t="shared" si="0"/>
        <v>07</v>
      </c>
      <c r="I7" s="5" t="str">
        <f t="shared" si="1"/>
        <v>UK</v>
      </c>
      <c r="J7" s="5" t="str">
        <f t="shared" si="2"/>
        <v>JUN</v>
      </c>
    </row>
    <row r="8" spans="1:10" ht="15.75" customHeight="1" x14ac:dyDescent="0.25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8" t="str">
        <f>IF(D8&gt;=500,"High price","StandardPrice")</f>
        <v>StandardPrice</v>
      </c>
      <c r="H8" s="14" t="str">
        <f t="shared" si="0"/>
        <v>19</v>
      </c>
      <c r="I8" s="5" t="str">
        <f t="shared" si="1"/>
        <v>UK</v>
      </c>
      <c r="J8" s="5" t="str">
        <f t="shared" si="2"/>
        <v>JUL</v>
      </c>
    </row>
    <row r="9" spans="1:10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 t="str">
        <f>IF(D9&gt;=500,"High price","StandardPrice")</f>
        <v>StandardPrice</v>
      </c>
      <c r="H9" s="14" t="str">
        <f t="shared" si="0"/>
        <v>23</v>
      </c>
      <c r="I9" s="5" t="str">
        <f t="shared" si="1"/>
        <v>UK</v>
      </c>
      <c r="J9" s="5" t="str">
        <f t="shared" si="2"/>
        <v>AUG</v>
      </c>
    </row>
    <row r="10" spans="1:10" ht="15.75" customHeight="1" x14ac:dyDescent="0.25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8" t="str">
        <f>IF(D10&gt;=500,"High price","StandardPrice")</f>
        <v>High price</v>
      </c>
      <c r="H10" s="14" t="str">
        <f t="shared" si="0"/>
        <v>05</v>
      </c>
      <c r="I10" s="5" t="str">
        <f t="shared" si="1"/>
        <v>UK</v>
      </c>
      <c r="J10" s="5" t="str">
        <f t="shared" si="2"/>
        <v>SEP</v>
      </c>
    </row>
    <row r="11" spans="1:10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 t="str">
        <f>IF(D11&gt;=500,"High price","StandardPrice")</f>
        <v>StandardPrice</v>
      </c>
      <c r="H11" s="14" t="str">
        <f t="shared" si="0"/>
        <v>14</v>
      </c>
      <c r="I11" s="5" t="str">
        <f t="shared" si="1"/>
        <v>UK</v>
      </c>
      <c r="J11" s="5" t="str">
        <f t="shared" si="2"/>
        <v>OCT</v>
      </c>
    </row>
    <row r="12" spans="1:10" ht="15.75" customHeight="1" x14ac:dyDescent="0.25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8" t="str">
        <f>IF(D12&gt;=500,"High price","StandardPrice")</f>
        <v>High price</v>
      </c>
      <c r="H12" s="14" t="str">
        <f t="shared" si="0"/>
        <v>17</v>
      </c>
      <c r="I12" s="5" t="str">
        <f t="shared" si="1"/>
        <v>IN</v>
      </c>
      <c r="J12" s="5" t="str">
        <f t="shared" si="2"/>
        <v>JUN</v>
      </c>
    </row>
    <row r="13" spans="1:10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 t="str">
        <f>IF(D13&gt;=500,"High price","StandardPrice")</f>
        <v>StandardPrice</v>
      </c>
      <c r="H13" s="14" t="str">
        <f t="shared" si="0"/>
        <v>25</v>
      </c>
      <c r="I13" s="5" t="str">
        <f t="shared" si="1"/>
        <v>AU</v>
      </c>
      <c r="J13" s="5" t="str">
        <f t="shared" si="2"/>
        <v>NOV</v>
      </c>
    </row>
    <row r="14" spans="1:10" ht="15.75" customHeight="1" x14ac:dyDescent="0.25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8" t="str">
        <f>IF(D14&gt;=500,"High price","StandardPrice")</f>
        <v>StandardPrice</v>
      </c>
      <c r="H14" s="14" t="str">
        <f t="shared" si="0"/>
        <v>08</v>
      </c>
      <c r="I14" s="5" t="str">
        <f t="shared" si="1"/>
        <v>DE</v>
      </c>
      <c r="J14" s="5" t="str">
        <f t="shared" si="2"/>
        <v>DEC</v>
      </c>
    </row>
    <row r="15" spans="1:10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 t="str">
        <f>IF(D15&gt;=500,"High price","StandardPrice")</f>
        <v>StandardPrice</v>
      </c>
      <c r="H15" s="14" t="str">
        <f t="shared" si="0"/>
        <v>18</v>
      </c>
      <c r="I15" s="5" t="str">
        <f t="shared" si="1"/>
        <v>CA</v>
      </c>
      <c r="J15" s="5" t="str">
        <f t="shared" si="2"/>
        <v>FEB</v>
      </c>
    </row>
    <row r="16" spans="1:10" ht="15.75" customHeight="1" x14ac:dyDescent="0.25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8" t="str">
        <f>IF(D16&gt;=500,"High price","StandardPrice")</f>
        <v>StandardPrice</v>
      </c>
      <c r="H16" s="14" t="str">
        <f t="shared" si="0"/>
        <v>16</v>
      </c>
      <c r="I16" s="5" t="str">
        <f t="shared" si="1"/>
        <v>ES</v>
      </c>
      <c r="J16" s="5" t="str">
        <f t="shared" si="2"/>
        <v>APR</v>
      </c>
    </row>
    <row r="17" spans="1:10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 t="str">
        <f>IF(D17&gt;=500,"High price","StandardPrice")</f>
        <v>StandardPrice</v>
      </c>
      <c r="H17" s="14" t="str">
        <f t="shared" si="0"/>
        <v>21</v>
      </c>
      <c r="I17" s="5" t="str">
        <f t="shared" si="1"/>
        <v>CA</v>
      </c>
      <c r="J17" s="5" t="str">
        <f t="shared" si="2"/>
        <v>AUG</v>
      </c>
    </row>
    <row r="18" spans="1:10" ht="15.75" customHeight="1" x14ac:dyDescent="0.25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8" t="str">
        <f>IF(D18&gt;=500,"High price","StandardPrice")</f>
        <v>StandardPrice</v>
      </c>
      <c r="H18" s="14" t="str">
        <f t="shared" si="0"/>
        <v>20</v>
      </c>
      <c r="I18" s="5" t="str">
        <f t="shared" si="1"/>
        <v>CN</v>
      </c>
      <c r="J18" s="5" t="str">
        <f t="shared" si="2"/>
        <v>AUG</v>
      </c>
    </row>
    <row r="19" spans="1:10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 t="str">
        <f>IF(D19&gt;=500,"High price","StandardPrice")</f>
        <v>High price</v>
      </c>
      <c r="H19" s="14" t="str">
        <f t="shared" si="0"/>
        <v>27</v>
      </c>
      <c r="I19" s="5" t="str">
        <f t="shared" si="1"/>
        <v>IT</v>
      </c>
      <c r="J19" s="5" t="str">
        <f t="shared" si="2"/>
        <v>JAN</v>
      </c>
    </row>
    <row r="20" spans="1:10" ht="15.75" customHeight="1" x14ac:dyDescent="0.25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8" t="str">
        <f>IF(D20&gt;=500,"High price","StandardPrice")</f>
        <v>StandardPrice</v>
      </c>
      <c r="H20" s="14" t="str">
        <f t="shared" si="0"/>
        <v>01</v>
      </c>
      <c r="I20" s="5" t="str">
        <f t="shared" si="1"/>
        <v>UK</v>
      </c>
      <c r="J20" s="5" t="str">
        <f t="shared" si="2"/>
        <v>MAR</v>
      </c>
    </row>
    <row r="21" spans="1:10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 t="str">
        <f>IF(D21&gt;=500,"High price","StandardPrice")</f>
        <v>StandardPrice</v>
      </c>
      <c r="H21" s="14" t="str">
        <f t="shared" si="0"/>
        <v>14</v>
      </c>
      <c r="I21" s="5" t="str">
        <f t="shared" si="1"/>
        <v>US</v>
      </c>
      <c r="J21" s="5" t="str">
        <f t="shared" si="2"/>
        <v>AUG</v>
      </c>
    </row>
    <row r="22" spans="1:10" ht="15.75" customHeight="1" x14ac:dyDescent="0.25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8" t="str">
        <f>IF(D22&gt;=500,"High price","StandardPrice")</f>
        <v>High price</v>
      </c>
      <c r="H22" s="14" t="str">
        <f t="shared" si="0"/>
        <v>14</v>
      </c>
      <c r="I22" s="5" t="str">
        <f t="shared" si="1"/>
        <v>RU</v>
      </c>
      <c r="J22" s="5" t="str">
        <f t="shared" si="2"/>
        <v>MAY</v>
      </c>
    </row>
    <row r="23" spans="1:10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 t="str">
        <f>IF(D23&gt;=500,"High price","StandardPrice")</f>
        <v>StandardPrice</v>
      </c>
      <c r="H23" s="14" t="str">
        <f t="shared" si="0"/>
        <v>09</v>
      </c>
      <c r="I23" s="5" t="str">
        <f t="shared" si="1"/>
        <v>CA</v>
      </c>
      <c r="J23" s="5" t="str">
        <f t="shared" si="2"/>
        <v>JAN</v>
      </c>
    </row>
    <row r="24" spans="1:10" ht="15.75" customHeight="1" x14ac:dyDescent="0.25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8" t="str">
        <f>IF(D24&gt;=500,"High price","StandardPrice")</f>
        <v>StandardPrice</v>
      </c>
      <c r="H24" s="14" t="str">
        <f t="shared" si="0"/>
        <v>19</v>
      </c>
      <c r="I24" s="5" t="str">
        <f t="shared" si="1"/>
        <v>BR</v>
      </c>
      <c r="J24" s="5" t="str">
        <f t="shared" si="2"/>
        <v>JUL</v>
      </c>
    </row>
    <row r="25" spans="1:10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8" t="str">
        <f>IF(D25&gt;=500,"High price","StandardPrice")</f>
        <v>StandardPrice</v>
      </c>
      <c r="H25" s="14" t="str">
        <f t="shared" si="0"/>
        <v>21</v>
      </c>
      <c r="I25" s="5" t="str">
        <f t="shared" si="1"/>
        <v>CA</v>
      </c>
      <c r="J25" s="5" t="str">
        <f t="shared" si="2"/>
        <v>AUG</v>
      </c>
    </row>
    <row r="26" spans="1:10" ht="15.75" customHeight="1" x14ac:dyDescent="0.25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8" t="str">
        <f>IF(D26&gt;=500,"High price","StandardPrice")</f>
        <v>High price</v>
      </c>
      <c r="H26" s="14" t="str">
        <f t="shared" si="0"/>
        <v>29</v>
      </c>
      <c r="I26" s="5" t="str">
        <f t="shared" si="1"/>
        <v>CA</v>
      </c>
      <c r="J26" s="5" t="str">
        <f t="shared" si="2"/>
        <v>SEP</v>
      </c>
    </row>
    <row r="27" spans="1:10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 t="str">
        <f>IF(D27&gt;=500,"High price","StandardPrice")</f>
        <v>StandardPrice</v>
      </c>
      <c r="H27" s="14" t="str">
        <f t="shared" si="0"/>
        <v>03</v>
      </c>
      <c r="I27" s="5" t="str">
        <f t="shared" si="1"/>
        <v>CA</v>
      </c>
      <c r="J27" s="5" t="str">
        <f t="shared" si="2"/>
        <v>JUN</v>
      </c>
    </row>
    <row r="28" spans="1:10" ht="15.75" customHeight="1" x14ac:dyDescent="0.25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8" t="str">
        <f>IF(D28&gt;=500,"High price","StandardPrice")</f>
        <v>StandardPrice</v>
      </c>
      <c r="H28" s="14" t="str">
        <f t="shared" si="0"/>
        <v>11</v>
      </c>
      <c r="I28" s="5" t="str">
        <f t="shared" si="1"/>
        <v>CA</v>
      </c>
      <c r="J28" s="5" t="str">
        <f t="shared" si="2"/>
        <v>JUL</v>
      </c>
    </row>
    <row r="29" spans="1:10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8" t="str">
        <f>IF(D29&gt;=500,"High price","StandardPrice")</f>
        <v>StandardPrice</v>
      </c>
      <c r="H29" s="14" t="str">
        <f t="shared" si="0"/>
        <v>16</v>
      </c>
      <c r="I29" s="5" t="str">
        <f t="shared" si="1"/>
        <v>ES</v>
      </c>
      <c r="J29" s="5" t="str">
        <f t="shared" si="2"/>
        <v>APR</v>
      </c>
    </row>
    <row r="30" spans="1:10" ht="15.75" customHeight="1" x14ac:dyDescent="0.25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8" t="str">
        <f>IF(D30&gt;=500,"High price","StandardPrice")</f>
        <v>StandardPrice</v>
      </c>
      <c r="H30" s="14" t="str">
        <f t="shared" si="0"/>
        <v>07</v>
      </c>
      <c r="I30" s="5" t="str">
        <f t="shared" si="1"/>
        <v>CA</v>
      </c>
      <c r="J30" s="5" t="str">
        <f t="shared" si="2"/>
        <v>MAR</v>
      </c>
    </row>
    <row r="31" spans="1:10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 t="str">
        <f>IF(D31&gt;=500,"High price","StandardPrice")</f>
        <v>StandardPrice</v>
      </c>
      <c r="H31" s="14" t="str">
        <f t="shared" si="0"/>
        <v>13</v>
      </c>
      <c r="I31" s="5" t="str">
        <f t="shared" si="1"/>
        <v>CA</v>
      </c>
      <c r="J31" s="5" t="str">
        <f t="shared" si="2"/>
        <v>APR</v>
      </c>
    </row>
    <row r="32" spans="1:10" ht="15.75" customHeight="1" x14ac:dyDescent="0.25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8" t="str">
        <f>IF(D32&gt;=500,"High price","StandardPrice")</f>
        <v>StandardPrice</v>
      </c>
      <c r="H32" s="14" t="str">
        <f t="shared" si="0"/>
        <v>24</v>
      </c>
      <c r="I32" s="5" t="str">
        <f t="shared" si="1"/>
        <v>CA</v>
      </c>
      <c r="J32" s="5" t="str">
        <f t="shared" si="2"/>
        <v>MAY</v>
      </c>
    </row>
    <row r="33" spans="1:10" ht="15.75" customHeight="1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 t="str">
        <f>IF(D33&gt;=500,"High price","StandardPrice")</f>
        <v>StandardPrice</v>
      </c>
      <c r="H33" s="14" t="str">
        <f t="shared" si="0"/>
        <v>02</v>
      </c>
      <c r="I33" s="5" t="str">
        <f t="shared" si="1"/>
        <v>CA</v>
      </c>
      <c r="J33" s="5" t="str">
        <f t="shared" si="2"/>
        <v>DEC</v>
      </c>
    </row>
    <row r="34" spans="1:10" ht="15.75" customHeight="1" x14ac:dyDescent="0.25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8" t="str">
        <f>IF(D34&gt;=500,"High price","StandardPrice")</f>
        <v>High price</v>
      </c>
      <c r="H34" s="14" t="str">
        <f t="shared" si="0"/>
        <v>17</v>
      </c>
      <c r="I34" s="5" t="str">
        <f t="shared" si="1"/>
        <v>IN</v>
      </c>
      <c r="J34" s="5" t="str">
        <f t="shared" si="2"/>
        <v>JUN</v>
      </c>
    </row>
    <row r="35" spans="1:10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 t="str">
        <f>IF(D35&gt;=500,"High price","StandardPrice")</f>
        <v>StandardPrice</v>
      </c>
      <c r="H35" s="14" t="str">
        <f t="shared" si="0"/>
        <v>09</v>
      </c>
      <c r="I35" s="5" t="str">
        <f t="shared" si="1"/>
        <v>FR</v>
      </c>
      <c r="J35" s="5" t="str">
        <f t="shared" si="2"/>
        <v>JUL</v>
      </c>
    </row>
    <row r="36" spans="1:10" ht="36" customHeight="1" x14ac:dyDescent="0.3">
      <c r="C36" s="10" t="s">
        <v>110</v>
      </c>
      <c r="D36" s="6">
        <f>SUM(D2:D35)</f>
        <v>10100</v>
      </c>
    </row>
    <row r="37" spans="1:10" ht="15.75" customHeight="1" x14ac:dyDescent="0.3">
      <c r="C37" s="11" t="s">
        <v>111</v>
      </c>
      <c r="D37" s="6">
        <f>COUNT(E2:E35)</f>
        <v>34</v>
      </c>
    </row>
    <row r="38" spans="1:10" ht="15.75" customHeight="1" x14ac:dyDescent="0.3">
      <c r="C38" s="11" t="s">
        <v>112</v>
      </c>
      <c r="D38" s="6">
        <f>AVERAGE(D2:D35)</f>
        <v>297.05882352941177</v>
      </c>
    </row>
    <row r="39" spans="1:10" ht="15.75" customHeight="1" x14ac:dyDescent="0.3">
      <c r="C39" s="11" t="s">
        <v>113</v>
      </c>
      <c r="D39" s="6">
        <f>MIN(D2:D35)</f>
        <v>30</v>
      </c>
    </row>
    <row r="40" spans="1:10" ht="15.75" customHeight="1" x14ac:dyDescent="0.3">
      <c r="C40" s="11" t="s">
        <v>114</v>
      </c>
      <c r="D40" s="6">
        <f>MAX(D2:D35)</f>
        <v>1000</v>
      </c>
    </row>
    <row r="41" spans="1:10" ht="51.5" customHeight="1" x14ac:dyDescent="0.3">
      <c r="C41" s="12" t="s">
        <v>116</v>
      </c>
      <c r="D41" s="6">
        <f>SUMIF(F2:F35,"Electronics",D2:D35)</f>
        <v>8050</v>
      </c>
    </row>
    <row r="42" spans="1:10" ht="43.5" customHeight="1" x14ac:dyDescent="0.3">
      <c r="C42" s="12" t="s">
        <v>120</v>
      </c>
      <c r="D42" s="6">
        <f>COUNTIF(D2:D35,"&lt;100")</f>
        <v>11</v>
      </c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Jacob</dc:creator>
  <cp:lastModifiedBy>Joyce Jacob</cp:lastModifiedBy>
  <dcterms:created xsi:type="dcterms:W3CDTF">2026-09-04T07:32:49Z</dcterms:created>
  <dcterms:modified xsi:type="dcterms:W3CDTF">2026-09-04T07:32:49Z</dcterms:modified>
</cp:coreProperties>
</file>